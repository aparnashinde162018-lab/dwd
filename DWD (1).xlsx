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8207C55-AF85-41E4-8CE1-98E9FB72B69B}" xr6:coauthVersionLast="36" xr6:coauthVersionMax="36" xr10:uidLastSave="{00000000-0000-0000-0000-000000000000}"/>
  <bookViews>
    <workbookView xWindow="0" yWindow="0" windowWidth="20490" windowHeight="7545" activeTab="1" xr2:uid="{00000000-000D-0000-FFFF-FFFF00000000}"/>
  </bookViews>
  <sheets>
    <sheet name="Central tendencies" sheetId="1" r:id="rId1"/>
    <sheet name="measures of dispersion -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D17" i="2"/>
  <c r="C17" i="2"/>
  <c r="B17" i="2"/>
  <c r="G2" i="2"/>
  <c r="D2" i="2"/>
  <c r="E6" i="2" s="1"/>
  <c r="F6" i="2" s="1"/>
  <c r="C2" i="2"/>
  <c r="B2" i="2"/>
  <c r="H2" i="2" s="1"/>
  <c r="D2" i="1"/>
  <c r="C2" i="1"/>
  <c r="B2" i="1"/>
  <c r="E2" i="2" l="1"/>
  <c r="F2" i="2" s="1"/>
  <c r="E8" i="2"/>
  <c r="F8" i="2" s="1"/>
  <c r="E4" i="2"/>
  <c r="F4" i="2" s="1"/>
  <c r="E11" i="2"/>
  <c r="F11" i="2" s="1"/>
  <c r="E7" i="2"/>
  <c r="F7" i="2" s="1"/>
  <c r="E3" i="2"/>
  <c r="F3" i="2" s="1"/>
  <c r="E9" i="2"/>
  <c r="F9" i="2" s="1"/>
  <c r="E5" i="2"/>
  <c r="F5" i="2" s="1"/>
  <c r="E10" i="2"/>
  <c r="F10" i="2" s="1"/>
  <c r="F12" i="2" l="1"/>
  <c r="I2" i="2" s="1"/>
  <c r="J2" i="2" s="1"/>
</calcChain>
</file>

<file path=xl/sharedStrings.xml><?xml version="1.0" encoding="utf-8"?>
<sst xmlns="http://schemas.openxmlformats.org/spreadsheetml/2006/main" count="24" uniqueCount="22">
  <si>
    <t>data</t>
  </si>
  <si>
    <t>Mean</t>
  </si>
  <si>
    <t>Median</t>
  </si>
  <si>
    <t>Mode</t>
  </si>
  <si>
    <t>Data</t>
  </si>
  <si>
    <t>max value</t>
  </si>
  <si>
    <t>min value</t>
  </si>
  <si>
    <t>mean</t>
  </si>
  <si>
    <t>xi-mean</t>
  </si>
  <si>
    <t>xi-mean * xi-mean</t>
  </si>
  <si>
    <t>variance</t>
  </si>
  <si>
    <t>std deviation</t>
  </si>
  <si>
    <t>Range</t>
  </si>
  <si>
    <t>N(no of observations)</t>
  </si>
  <si>
    <t>Q3</t>
  </si>
  <si>
    <t>Q1</t>
  </si>
  <si>
    <t>IQR</t>
  </si>
  <si>
    <t xml:space="preserve"> Q1=np.quantile(price,0.25) #Finding Q1</t>
  </si>
  <si>
    <t xml:space="preserve">    Q3=np.quantile(price,0.75) #finding q3</t>
  </si>
  <si>
    <t xml:space="preserve">    IQR=Q3-Q1 #find iqr</t>
  </si>
  <si>
    <t xml:space="preserve">    UW=Q3+(IQR*1.5) #upper whisker of each brand</t>
  </si>
  <si>
    <t xml:space="preserve">    LW=Q1-(IQR*1.5) #LOWER WHISKER of each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</si>
</sst>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4</xdr:row>
      <xdr:rowOff>171450</xdr:rowOff>
    </xdr:from>
    <xdr:to>
      <xdr:col>19</xdr:col>
      <xdr:colOff>570359</xdr:colOff>
      <xdr:row>21</xdr:row>
      <xdr:rowOff>171045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933450"/>
          <a:ext cx="9123809" cy="3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45</v>
      </c>
      <c r="B2">
        <f>AVERAGE(A2:A31)</f>
        <v>49.3</v>
      </c>
      <c r="C2">
        <f>MEDIAN(A2:A31)</f>
        <v>49</v>
      </c>
      <c r="D2">
        <f>MODE(A2:A31)</f>
        <v>52</v>
      </c>
    </row>
    <row r="3" spans="1:4" x14ac:dyDescent="0.25">
      <c r="A3">
        <v>52</v>
      </c>
    </row>
    <row r="4" spans="1:4" x14ac:dyDescent="0.25">
      <c r="A4">
        <v>47</v>
      </c>
    </row>
    <row r="5" spans="1:4" x14ac:dyDescent="0.25">
      <c r="A5">
        <v>50</v>
      </c>
    </row>
    <row r="6" spans="1:4" x14ac:dyDescent="0.25">
      <c r="A6">
        <v>49</v>
      </c>
    </row>
    <row r="7" spans="1:4" x14ac:dyDescent="0.25">
      <c r="A7">
        <v>48</v>
      </c>
    </row>
    <row r="8" spans="1:4" x14ac:dyDescent="0.25">
      <c r="A8">
        <v>52</v>
      </c>
    </row>
    <row r="9" spans="1:4" x14ac:dyDescent="0.25">
      <c r="A9">
        <v>47</v>
      </c>
    </row>
    <row r="10" spans="1:4" x14ac:dyDescent="0.25">
      <c r="A10">
        <v>46</v>
      </c>
    </row>
    <row r="11" spans="1:4" x14ac:dyDescent="0.25">
      <c r="A11">
        <v>50</v>
      </c>
    </row>
    <row r="12" spans="1:4" x14ac:dyDescent="0.25">
      <c r="A12">
        <v>49</v>
      </c>
    </row>
    <row r="13" spans="1:4" x14ac:dyDescent="0.25">
      <c r="A13">
        <v>52</v>
      </c>
    </row>
    <row r="14" spans="1:4" x14ac:dyDescent="0.25">
      <c r="A14">
        <v>53</v>
      </c>
    </row>
    <row r="15" spans="1:4" x14ac:dyDescent="0.25">
      <c r="A15">
        <v>47</v>
      </c>
    </row>
    <row r="16" spans="1:4" x14ac:dyDescent="0.25">
      <c r="A16">
        <v>48</v>
      </c>
    </row>
    <row r="17" spans="1:1" x14ac:dyDescent="0.25">
      <c r="A17">
        <v>51</v>
      </c>
    </row>
    <row r="18" spans="1:1" x14ac:dyDescent="0.25">
      <c r="A18">
        <v>52</v>
      </c>
    </row>
    <row r="19" spans="1:1" x14ac:dyDescent="0.25">
      <c r="A19">
        <v>50</v>
      </c>
    </row>
    <row r="20" spans="1:1" x14ac:dyDescent="0.25">
      <c r="A20">
        <v>49</v>
      </c>
    </row>
    <row r="21" spans="1:1" x14ac:dyDescent="0.25">
      <c r="A21">
        <v>47</v>
      </c>
    </row>
    <row r="22" spans="1:1" x14ac:dyDescent="0.25">
      <c r="A22">
        <v>53</v>
      </c>
    </row>
    <row r="23" spans="1:1" x14ac:dyDescent="0.25">
      <c r="A23">
        <v>48</v>
      </c>
    </row>
    <row r="24" spans="1:1" x14ac:dyDescent="0.25">
      <c r="A24">
        <v>46</v>
      </c>
    </row>
    <row r="25" spans="1:1" x14ac:dyDescent="0.25">
      <c r="A25">
        <v>50</v>
      </c>
    </row>
    <row r="26" spans="1:1" x14ac:dyDescent="0.25">
      <c r="A26">
        <v>52</v>
      </c>
    </row>
    <row r="27" spans="1:1" x14ac:dyDescent="0.25">
      <c r="A27">
        <v>49</v>
      </c>
    </row>
    <row r="28" spans="1:1" x14ac:dyDescent="0.25">
      <c r="A28">
        <v>47</v>
      </c>
    </row>
    <row r="29" spans="1:1" x14ac:dyDescent="0.25">
      <c r="A29">
        <v>52</v>
      </c>
    </row>
    <row r="30" spans="1:1" x14ac:dyDescent="0.25">
      <c r="A30">
        <v>50</v>
      </c>
    </row>
    <row r="31" spans="1:1" x14ac:dyDescent="0.25">
      <c r="A31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abSelected="1" topLeftCell="C5" workbookViewId="0">
      <selection activeCell="C25" sqref="C25:C29"/>
    </sheetView>
  </sheetViews>
  <sheetFormatPr defaultRowHeight="15" x14ac:dyDescent="0.25"/>
  <cols>
    <col min="6" max="6" width="17.7109375" bestFit="1" customWidth="1"/>
    <col min="7" max="7" width="20.5703125" bestFit="1" customWidth="1"/>
    <col min="9" max="9" width="10" bestFit="1" customWidth="1"/>
  </cols>
  <sheetData>
    <row r="1" spans="1:11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13</v>
      </c>
      <c r="H1" s="1" t="s">
        <v>12</v>
      </c>
      <c r="I1" s="1" t="s">
        <v>10</v>
      </c>
      <c r="J1" s="1" t="s">
        <v>11</v>
      </c>
      <c r="K1" s="1"/>
    </row>
    <row r="2" spans="1:11" x14ac:dyDescent="0.25">
      <c r="A2">
        <v>320000</v>
      </c>
      <c r="B2">
        <f>MAX(A2:A11)</f>
        <v>370000</v>
      </c>
      <c r="C2">
        <f>MIN(A2:A11)</f>
        <v>290000</v>
      </c>
      <c r="D2">
        <f>AVERAGE(A2:A11)</f>
        <v>329500</v>
      </c>
      <c r="E2">
        <f>A2-$D$2</f>
        <v>-9500</v>
      </c>
      <c r="F2">
        <f>E2*E2</f>
        <v>90250000</v>
      </c>
      <c r="G2">
        <f>COUNT(A2:A11)</f>
        <v>10</v>
      </c>
      <c r="H2">
        <f>B2-C2</f>
        <v>80000</v>
      </c>
      <c r="I2">
        <f>F12/G2</f>
        <v>602250000</v>
      </c>
      <c r="J2">
        <f>SQRT(I2)</f>
        <v>24540.782383616053</v>
      </c>
    </row>
    <row r="3" spans="1:11" x14ac:dyDescent="0.25">
      <c r="A3">
        <v>340000</v>
      </c>
      <c r="E3">
        <f t="shared" ref="E3:E11" si="0">A3-$D$2</f>
        <v>10500</v>
      </c>
      <c r="F3">
        <f t="shared" ref="F3:F11" si="1">E3*E3</f>
        <v>110250000</v>
      </c>
    </row>
    <row r="4" spans="1:11" x14ac:dyDescent="0.25">
      <c r="A4">
        <v>290000</v>
      </c>
      <c r="E4">
        <f t="shared" si="0"/>
        <v>-39500</v>
      </c>
      <c r="F4">
        <f t="shared" si="1"/>
        <v>1560250000</v>
      </c>
    </row>
    <row r="5" spans="1:11" x14ac:dyDescent="0.25">
      <c r="A5">
        <v>360000</v>
      </c>
      <c r="E5">
        <f t="shared" si="0"/>
        <v>30500</v>
      </c>
      <c r="F5">
        <f t="shared" si="1"/>
        <v>930250000</v>
      </c>
    </row>
    <row r="6" spans="1:11" x14ac:dyDescent="0.25">
      <c r="A6">
        <v>310000</v>
      </c>
      <c r="E6">
        <f t="shared" si="0"/>
        <v>-19500</v>
      </c>
      <c r="F6">
        <f t="shared" si="1"/>
        <v>380250000</v>
      </c>
    </row>
    <row r="7" spans="1:11" x14ac:dyDescent="0.25">
      <c r="A7">
        <v>330000</v>
      </c>
      <c r="E7">
        <f t="shared" si="0"/>
        <v>500</v>
      </c>
      <c r="F7">
        <f t="shared" si="1"/>
        <v>250000</v>
      </c>
    </row>
    <row r="8" spans="1:11" x14ac:dyDescent="0.25">
      <c r="A8">
        <v>370000</v>
      </c>
      <c r="E8">
        <f t="shared" si="0"/>
        <v>40500</v>
      </c>
      <c r="F8">
        <f t="shared" si="1"/>
        <v>1640250000</v>
      </c>
    </row>
    <row r="9" spans="1:11" x14ac:dyDescent="0.25">
      <c r="A9">
        <v>300000</v>
      </c>
      <c r="E9">
        <f t="shared" si="0"/>
        <v>-29500</v>
      </c>
      <c r="F9">
        <f t="shared" si="1"/>
        <v>870250000</v>
      </c>
    </row>
    <row r="10" spans="1:11" x14ac:dyDescent="0.25">
      <c r="A10">
        <v>350000</v>
      </c>
      <c r="E10">
        <f t="shared" si="0"/>
        <v>20500</v>
      </c>
      <c r="F10">
        <f t="shared" si="1"/>
        <v>420250000</v>
      </c>
    </row>
    <row r="11" spans="1:11" x14ac:dyDescent="0.25">
      <c r="A11">
        <v>325000</v>
      </c>
      <c r="E11">
        <f t="shared" si="0"/>
        <v>-4500</v>
      </c>
      <c r="F11">
        <f t="shared" si="1"/>
        <v>20250000</v>
      </c>
    </row>
    <row r="12" spans="1:11" x14ac:dyDescent="0.25">
      <c r="F12">
        <f>SUM(F2:F11)</f>
        <v>6022500000</v>
      </c>
    </row>
    <row r="16" spans="1:11" x14ac:dyDescent="0.25">
      <c r="A16" t="s">
        <v>4</v>
      </c>
      <c r="B16" t="s">
        <v>2</v>
      </c>
      <c r="C16" t="s">
        <v>14</v>
      </c>
      <c r="D16" t="s">
        <v>15</v>
      </c>
      <c r="E16" s="1" t="s">
        <v>16</v>
      </c>
    </row>
    <row r="17" spans="1:5" x14ac:dyDescent="0.25">
      <c r="A17">
        <v>290000</v>
      </c>
      <c r="B17">
        <f>MEDIAN(A17:A26)</f>
        <v>327500</v>
      </c>
      <c r="C17">
        <f>QUARTILE(A17:A26,3)</f>
        <v>347500</v>
      </c>
      <c r="D17">
        <f>QUARTILE(A17:A26,1)</f>
        <v>312500</v>
      </c>
      <c r="E17">
        <f>C17-D17</f>
        <v>35000</v>
      </c>
    </row>
    <row r="18" spans="1:5" x14ac:dyDescent="0.25">
      <c r="A18">
        <v>300000</v>
      </c>
    </row>
    <row r="19" spans="1:5" x14ac:dyDescent="0.25">
      <c r="A19">
        <v>310000</v>
      </c>
    </row>
    <row r="20" spans="1:5" x14ac:dyDescent="0.25">
      <c r="A20">
        <v>320000</v>
      </c>
    </row>
    <row r="21" spans="1:5" x14ac:dyDescent="0.25">
      <c r="A21">
        <v>325000</v>
      </c>
    </row>
    <row r="22" spans="1:5" x14ac:dyDescent="0.25">
      <c r="A22">
        <v>330000</v>
      </c>
    </row>
    <row r="23" spans="1:5" x14ac:dyDescent="0.25">
      <c r="A23">
        <v>340000</v>
      </c>
    </row>
    <row r="24" spans="1:5" x14ac:dyDescent="0.25">
      <c r="A24">
        <v>350000</v>
      </c>
    </row>
    <row r="25" spans="1:5" x14ac:dyDescent="0.25">
      <c r="A25">
        <v>360000</v>
      </c>
      <c r="C25" t="s">
        <v>17</v>
      </c>
    </row>
    <row r="26" spans="1:5" x14ac:dyDescent="0.25">
      <c r="A26">
        <v>370000</v>
      </c>
      <c r="C26" t="s">
        <v>18</v>
      </c>
    </row>
    <row r="27" spans="1:5" x14ac:dyDescent="0.25">
      <c r="C27" t="s">
        <v>19</v>
      </c>
    </row>
    <row r="28" spans="1:5" x14ac:dyDescent="0.25">
      <c r="C28" t="s">
        <v>20</v>
      </c>
    </row>
    <row r="29" spans="1:5" x14ac:dyDescent="0.25">
      <c r="C29" t="s">
        <v>21</v>
      </c>
    </row>
  </sheetData>
  <sortState ref="A17:A26">
    <sortCondition ref="A1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tendencies</vt:lpstr>
      <vt:lpstr>measures of dispersion 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Aparna Shinde</cp:lastModifiedBy>
  <dcterms:created xsi:type="dcterms:W3CDTF">2024-12-05T07:40:24Z</dcterms:created>
  <dcterms:modified xsi:type="dcterms:W3CDTF">2025-09-03T10:37:48Z</dcterms:modified>
</cp:coreProperties>
</file>